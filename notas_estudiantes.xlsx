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https://d.docs.live.net/322aa45d8efa2c13/PQ1/"/>
    </mc:Choice>
  </mc:AlternateContent>
  <xr:revisionPtr revIDLastSave="39" documentId="11_26F8A11A51784A0E62355476585DCE3AA744D607" xr6:coauthVersionLast="47" xr6:coauthVersionMax="47" xr10:uidLastSave="{B715A8D4-AB84-7240-A9F6-03BE5AA47AB4}"/>
  <bookViews>
    <workbookView xWindow="0" yWindow="620" windowWidth="28800" windowHeight="16200" xr2:uid="{00000000-000D-0000-FFFF-FFFF00000000}"/>
  </bookViews>
  <sheets>
    <sheet name="No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<sst xmlns="http://schemas.openxmlformats.org/spreadsheetml/2006/main" count="345" uniqueCount="281">
  <si>
    <t>LICENCIATURA</t>
  </si>
  <si>
    <t>CÉDULA</t>
  </si>
  <si>
    <t>NOMBRES</t>
  </si>
  <si>
    <t>APELLIDOS</t>
  </si>
  <si>
    <t>CORREO</t>
  </si>
  <si>
    <t>Parcial I</t>
  </si>
  <si>
    <t>NOTA FINAL</t>
  </si>
  <si>
    <t>PROGRESO (%)</t>
  </si>
  <si>
    <t>Quiz 1 (2.5%)</t>
  </si>
  <si>
    <t>Quiz 2 (2.5%)</t>
  </si>
  <si>
    <t>Quiz 3 (2.5%)</t>
  </si>
  <si>
    <t>Quiz 4 (2.5%)</t>
  </si>
  <si>
    <t>Parcial 2 (15.0%)</t>
  </si>
  <si>
    <t>FISICA</t>
  </si>
  <si>
    <t>32778512</t>
  </si>
  <si>
    <t xml:space="preserve">FÉLIX GABRIEL </t>
  </si>
  <si>
    <t>ACOSTA FORNES</t>
  </si>
  <si>
    <t>acostafelix2009@gmail.com</t>
  </si>
  <si>
    <t>BIOLOGIA</t>
  </si>
  <si>
    <t>31383227</t>
  </si>
  <si>
    <t>VICTORIA MARGARITA</t>
  </si>
  <si>
    <t>ALVARADO COLMENARES</t>
  </si>
  <si>
    <t>vickyalvarado123@gmail.com</t>
  </si>
  <si>
    <t>32672049</t>
  </si>
  <si>
    <t>SHEMYRA JOSEPHYN</t>
  </si>
  <si>
    <t>ANDRADE TROYA</t>
  </si>
  <si>
    <t>daliandra2012@gmail.com</t>
  </si>
  <si>
    <t>30769111</t>
  </si>
  <si>
    <t>AQUILES LEÓN</t>
  </si>
  <si>
    <t>ARIAS VARGAS</t>
  </si>
  <si>
    <t>aquilesarias00@gmail.com</t>
  </si>
  <si>
    <t>QUIMICA</t>
  </si>
  <si>
    <t>32771351</t>
  </si>
  <si>
    <t>ABRAHAM DAVID</t>
  </si>
  <si>
    <t>ARTIGAS CEDEÑO</t>
  </si>
  <si>
    <t>abra20artigas@gmail.com</t>
  </si>
  <si>
    <t>ROSANA VALENTINA</t>
  </si>
  <si>
    <t>ARTUZA COTRERAS</t>
  </si>
  <si>
    <t>valentinaartuza9@gmail.com</t>
  </si>
  <si>
    <t>32624234</t>
  </si>
  <si>
    <t>XAVIER ENRIQUE</t>
  </si>
  <si>
    <t>AUMAITRE VIVAS</t>
  </si>
  <si>
    <t>xavier.aumaitre2008@gmail.com</t>
  </si>
  <si>
    <t>32299054</t>
  </si>
  <si>
    <t>JULIANNY VALENTINA</t>
  </si>
  <si>
    <t>BARCELÓ AMAYA</t>
  </si>
  <si>
    <t>juliannybarcelo@gmail.com</t>
  </si>
  <si>
    <t>33326725</t>
  </si>
  <si>
    <t xml:space="preserve">SEBASTIÁN ENRIQUE </t>
  </si>
  <si>
    <t>BARRAGÁN LEAL</t>
  </si>
  <si>
    <t>sebasbarraga218@gmail.com</t>
  </si>
  <si>
    <t>33009483</t>
  </si>
  <si>
    <t>PAOLA CECILIA</t>
  </si>
  <si>
    <t>BARRAGÁN RAMETTA</t>
  </si>
  <si>
    <t>paolacecilia1207@gmail.com</t>
  </si>
  <si>
    <t>32235872</t>
  </si>
  <si>
    <t>MARTHA GABRIELA</t>
  </si>
  <si>
    <t>BOLAÑOS VALERO</t>
  </si>
  <si>
    <t>marthabvalero@gmail.com</t>
  </si>
  <si>
    <t>32542739</t>
  </si>
  <si>
    <t xml:space="preserve">GUSTAVO </t>
  </si>
  <si>
    <t xml:space="preserve">BRUZUAL </t>
  </si>
  <si>
    <t>okjeep4.90@gmail.com</t>
  </si>
  <si>
    <t>30497281</t>
  </si>
  <si>
    <t>ANDREA ESTEFANÍA</t>
  </si>
  <si>
    <t>CADAVID PERLUZZO</t>
  </si>
  <si>
    <t>andreacadavidp@gmail.com</t>
  </si>
  <si>
    <t>27426309</t>
  </si>
  <si>
    <t>JAISAR ANMAR</t>
  </si>
  <si>
    <t>CAMMARATA BRITO</t>
  </si>
  <si>
    <t>jaisarcammarata8@gmail.com</t>
  </si>
  <si>
    <t>32572670</t>
  </si>
  <si>
    <t>NORIAN ALEJANDRA</t>
  </si>
  <si>
    <t xml:space="preserve">CHAPARRO DIAZ </t>
  </si>
  <si>
    <t>norian.achd@gmail.com</t>
  </si>
  <si>
    <t>32762688</t>
  </si>
  <si>
    <t>ANDREA ELIZABETH</t>
  </si>
  <si>
    <t>CÁRDENAS CERON</t>
  </si>
  <si>
    <t>andreacc952@gmail.com</t>
  </si>
  <si>
    <t>31394483</t>
  </si>
  <si>
    <t xml:space="preserve">MARÍA FERNANDA </t>
  </si>
  <si>
    <t xml:space="preserve">DALPONTE VILLANUEVA </t>
  </si>
  <si>
    <t>mariadalponte0702@gmail.com</t>
  </si>
  <si>
    <t>33359354</t>
  </si>
  <si>
    <t>SEBASTIÁN ANDRÉS</t>
  </si>
  <si>
    <t>DÍAZ PARRA</t>
  </si>
  <si>
    <t>sebastian.a.diaz.p1@gmail.com</t>
  </si>
  <si>
    <t>33154896</t>
  </si>
  <si>
    <t xml:space="preserve">FERMÍN URBANEJA </t>
  </si>
  <si>
    <t>mariafernandaferminurbaneja@gmail.com</t>
  </si>
  <si>
    <t>30411578</t>
  </si>
  <si>
    <t xml:space="preserve">ANA PAULA </t>
  </si>
  <si>
    <t xml:space="preserve">GUEVARA VELAZQUEZ </t>
  </si>
  <si>
    <t>guevaravelazquezanapaula@gmail.com</t>
  </si>
  <si>
    <t>32296355</t>
  </si>
  <si>
    <t>ELIEZER SAYID</t>
  </si>
  <si>
    <t>HERMOSO ARONI</t>
  </si>
  <si>
    <t>eliezeraroni318@gmail.com</t>
  </si>
  <si>
    <t>31222814</t>
  </si>
  <si>
    <t>DANIELA YOSELING</t>
  </si>
  <si>
    <t>INFANTE PACHECO</t>
  </si>
  <si>
    <t>infantedaniela1406@gmail.com</t>
  </si>
  <si>
    <t>33161545</t>
  </si>
  <si>
    <t xml:space="preserve">PAOLA CAROLINA </t>
  </si>
  <si>
    <t xml:space="preserve">JAJOY HERNÁNDEZ </t>
  </si>
  <si>
    <t>carolinhernan48@gmail.com</t>
  </si>
  <si>
    <t>32058701</t>
  </si>
  <si>
    <t>VALERIA BEATRIZ</t>
  </si>
  <si>
    <t>LAMON ROJAS</t>
  </si>
  <si>
    <t>valerialamon1111@gmail.com</t>
  </si>
  <si>
    <t>32514650</t>
  </si>
  <si>
    <t xml:space="preserve">PAOLA VALENTÍNA </t>
  </si>
  <si>
    <t xml:space="preserve">LIZCANO CAPOTE </t>
  </si>
  <si>
    <t>paolalizcano9671@gmail.com</t>
  </si>
  <si>
    <t>31460555</t>
  </si>
  <si>
    <t>SARAH ANDREINA</t>
  </si>
  <si>
    <t>LOPEZ RIVAS</t>
  </si>
  <si>
    <t>sarah.loopez169@gmail.com</t>
  </si>
  <si>
    <t>32678575</t>
  </si>
  <si>
    <t xml:space="preserve">CHRISTINE </t>
  </si>
  <si>
    <t xml:space="preserve">MANRIQUE </t>
  </si>
  <si>
    <t>degoisc083@gmail.com</t>
  </si>
  <si>
    <t>AYRAM GISSELLE</t>
  </si>
  <si>
    <t xml:space="preserve">MARCANO DELGADO </t>
  </si>
  <si>
    <t>ayrammarcano74@gmail.com</t>
  </si>
  <si>
    <t>32858332</t>
  </si>
  <si>
    <t>VALERIA IVANOVA</t>
  </si>
  <si>
    <t xml:space="preserve">MARCANO QUIJADA </t>
  </si>
  <si>
    <t>marcanovaleivanova08@gmail.com</t>
  </si>
  <si>
    <t>31777350</t>
  </si>
  <si>
    <t>ILLIEX GABRIEL</t>
  </si>
  <si>
    <t>MATAMOROS RAMIRES</t>
  </si>
  <si>
    <t>gabrielmatamoros826@gmail.com</t>
  </si>
  <si>
    <t>32299102</t>
  </si>
  <si>
    <t>ALEJANDRO ALEXANDRE</t>
  </si>
  <si>
    <t>MAYO RUIZ</t>
  </si>
  <si>
    <t>ale.mayo015@gmail.com</t>
  </si>
  <si>
    <t>32658002</t>
  </si>
  <si>
    <t>CELINA SOFIA</t>
  </si>
  <si>
    <t>MELÉNDEZ GIL</t>
  </si>
  <si>
    <t>celinasofiamelendez@gmail.com</t>
  </si>
  <si>
    <t>32949323</t>
  </si>
  <si>
    <t xml:space="preserve">KRISTIANGELY  AILED </t>
  </si>
  <si>
    <t xml:space="preserve">MENDOZA  BRAVO </t>
  </si>
  <si>
    <t>ailedbravo700@gmail.com</t>
  </si>
  <si>
    <t>32242638</t>
  </si>
  <si>
    <t xml:space="preserve">ANA LUCÍA </t>
  </si>
  <si>
    <t>MONTEZUMA BLANCO</t>
  </si>
  <si>
    <t>anamontezuma08@gmail.com</t>
  </si>
  <si>
    <t>32678432</t>
  </si>
  <si>
    <t>FABIOLA DECIREE</t>
  </si>
  <si>
    <t xml:space="preserve">MORA MARTINEZ </t>
  </si>
  <si>
    <t>fallola38@gmail.com</t>
  </si>
  <si>
    <t>32486376</t>
  </si>
  <si>
    <t>BÁRBARA VALENTINA</t>
  </si>
  <si>
    <t>MORENO RODRIGUES</t>
  </si>
  <si>
    <t>barbaramoreno214@gmail.com</t>
  </si>
  <si>
    <t>32609378</t>
  </si>
  <si>
    <t>ANGELINA GABRIELLA</t>
  </si>
  <si>
    <t>OLIVIERO MORALES</t>
  </si>
  <si>
    <t>angelinaoliviero0908@gmail.com</t>
  </si>
  <si>
    <t>33301520</t>
  </si>
  <si>
    <t>MIRANDA VALENTINA</t>
  </si>
  <si>
    <t>PEÑA MIQUILENA</t>
  </si>
  <si>
    <t>mirandavalentinapm@gmail.com</t>
  </si>
  <si>
    <t>31382465</t>
  </si>
  <si>
    <t xml:space="preserve">NIEVES </t>
  </si>
  <si>
    <t xml:space="preserve">PINTO </t>
  </si>
  <si>
    <t>nievesbps@gmail.com</t>
  </si>
  <si>
    <t>32996198</t>
  </si>
  <si>
    <t xml:space="preserve">JUAN PABLO </t>
  </si>
  <si>
    <t>PIÑERO MARTÍNEZ</t>
  </si>
  <si>
    <t>juanpablopineromartinez@gmail.com</t>
  </si>
  <si>
    <t>32299407</t>
  </si>
  <si>
    <t xml:space="preserve">SARA CATERINA DEL CARMEN </t>
  </si>
  <si>
    <t>POGGI BIANCHI</t>
  </si>
  <si>
    <t>sarapaggiph1@gmail.com</t>
  </si>
  <si>
    <t>33488751</t>
  </si>
  <si>
    <t>ESMIRNA MARIA</t>
  </si>
  <si>
    <t xml:space="preserve">PULGAR MANOSALVA </t>
  </si>
  <si>
    <t>esmipulgar1@gmail.com</t>
  </si>
  <si>
    <t>31134755</t>
  </si>
  <si>
    <t>MIGUEL ALEJANDRO</t>
  </si>
  <si>
    <t>PÉREZ MARTINEZ</t>
  </si>
  <si>
    <t>miguelmartinezjr20@gmail.com</t>
  </si>
  <si>
    <t>32397525</t>
  </si>
  <si>
    <t>DAVID SEBASTIAN</t>
  </si>
  <si>
    <t>REVELES SANTANA</t>
  </si>
  <si>
    <t>revelesdavid800@gmail.com</t>
  </si>
  <si>
    <t>32291295</t>
  </si>
  <si>
    <t>VALERIA VICTORIA</t>
  </si>
  <si>
    <t>REVETE DOMINGUEZ</t>
  </si>
  <si>
    <t>valeriavictoriarevete2210@gmail.com</t>
  </si>
  <si>
    <t>29553514</t>
  </si>
  <si>
    <t>JESÚS MANUEL</t>
  </si>
  <si>
    <t xml:space="preserve">RIVAS MIJARES </t>
  </si>
  <si>
    <t>rivas.je28@gmail.com</t>
  </si>
  <si>
    <t>33267064</t>
  </si>
  <si>
    <t>VALERIA ALEJANDRA</t>
  </si>
  <si>
    <t>RIVERA DÍAZ</t>
  </si>
  <si>
    <t>c33267064@gmail.com</t>
  </si>
  <si>
    <t>31591769</t>
  </si>
  <si>
    <t xml:space="preserve">ANDREA CHIQUINQUIRA </t>
  </si>
  <si>
    <t>RIVERO URDANETA</t>
  </si>
  <si>
    <t>an.chiqui2004@gmail.com</t>
  </si>
  <si>
    <t>32634401</t>
  </si>
  <si>
    <t xml:space="preserve">ESTER MILEIDY </t>
  </si>
  <si>
    <t>ROA ALVES</t>
  </si>
  <si>
    <t>esterroaalves.11@gmail.com</t>
  </si>
  <si>
    <t>33289573</t>
  </si>
  <si>
    <t>LIZLEIKA ZULIMAR</t>
  </si>
  <si>
    <t>RODRÍGUEZ CEBALLOS</t>
  </si>
  <si>
    <t>13102008.liz@gmail.com</t>
  </si>
  <si>
    <t>33987552</t>
  </si>
  <si>
    <t>DOMINGO LUCIANO</t>
  </si>
  <si>
    <t xml:space="preserve">RODRÍGUEZ RODRÍGUEZ </t>
  </si>
  <si>
    <t>rodriguezdomingoluciano@gmail.com</t>
  </si>
  <si>
    <t>ENMANUEL JOSUE</t>
  </si>
  <si>
    <t>RONDÓN INFANTE</t>
  </si>
  <si>
    <t>anjosue27@gmail.com</t>
  </si>
  <si>
    <t>32242837</t>
  </si>
  <si>
    <t>JOSÉ ANDRES</t>
  </si>
  <si>
    <t>ROSAL APONTE</t>
  </si>
  <si>
    <t>andresrosalapontee@gmail.com</t>
  </si>
  <si>
    <t>31939763</t>
  </si>
  <si>
    <t xml:space="preserve">ARIANNY CAROLINA </t>
  </si>
  <si>
    <t xml:space="preserve">ROSARIO MOLINA </t>
  </si>
  <si>
    <t>arinnyrosario0901@gmail.com</t>
  </si>
  <si>
    <t>28303633</t>
  </si>
  <si>
    <t>JEAN PAUL</t>
  </si>
  <si>
    <t>SALAS BARRIOS</t>
  </si>
  <si>
    <t>jeanpaulsalas1@hotmail.com</t>
  </si>
  <si>
    <t>27111663</t>
  </si>
  <si>
    <t>ALEJANDRO MAGNO</t>
  </si>
  <si>
    <t>SALAZAR GONZÁLEZ</t>
  </si>
  <si>
    <t>alemago99@gmail.com</t>
  </si>
  <si>
    <t>33050292</t>
  </si>
  <si>
    <t xml:space="preserve">MARÍA ELIZABETH </t>
  </si>
  <si>
    <t>SALAZAR MENDEZ</t>
  </si>
  <si>
    <t>msalazar33050292@gmail.com</t>
  </si>
  <si>
    <t>33433218</t>
  </si>
  <si>
    <t>EZEQUIEL ABRAHAN</t>
  </si>
  <si>
    <t>SUQUI QUISHPI</t>
  </si>
  <si>
    <t>suqui.eze@gmail.com</t>
  </si>
  <si>
    <t>32514796</t>
  </si>
  <si>
    <t xml:space="preserve">NICOLE ALEJANDRA </t>
  </si>
  <si>
    <t xml:space="preserve">SUÁREZ TOLEDO </t>
  </si>
  <si>
    <t>stnast899@gmail.com</t>
  </si>
  <si>
    <t>32264356</t>
  </si>
  <si>
    <t>ARIADNA SOFÍA</t>
  </si>
  <si>
    <t xml:space="preserve">SÁNCHEZ VELAZCO </t>
  </si>
  <si>
    <t>ariadna.152009@gmail.com</t>
  </si>
  <si>
    <t>25013559</t>
  </si>
  <si>
    <t>DIANA ALEJANDRA</t>
  </si>
  <si>
    <t>TAGLIAFICO SALAZAR</t>
  </si>
  <si>
    <t>dianatagliafico@gmail.com</t>
  </si>
  <si>
    <t>32568397</t>
  </si>
  <si>
    <t xml:space="preserve">YORNELYS MARÍA </t>
  </si>
  <si>
    <t>TORO TORRES</t>
  </si>
  <si>
    <t>toroyornelys@gmail.com</t>
  </si>
  <si>
    <t>33158634</t>
  </si>
  <si>
    <t xml:space="preserve">ESTEBAN ALEJANDRO </t>
  </si>
  <si>
    <t>TORRES GOTTO</t>
  </si>
  <si>
    <t>etorresgotto@gmail.com</t>
  </si>
  <si>
    <t>30145172</t>
  </si>
  <si>
    <t>CHRISTOPHER ANTONIO</t>
  </si>
  <si>
    <t>TREJO AVILA</t>
  </si>
  <si>
    <t>christophertrejoavila@gmail.com</t>
  </si>
  <si>
    <t>32612392</t>
  </si>
  <si>
    <t>SEBASTIÁN ALEXANDER</t>
  </si>
  <si>
    <t>VARGAS QUINTANA</t>
  </si>
  <si>
    <t>saiba.chara@gmail.com</t>
  </si>
  <si>
    <t>32396908</t>
  </si>
  <si>
    <t xml:space="preserve">EDUARDO ANDRÉS </t>
  </si>
  <si>
    <t xml:space="preserve">VIANA MARTINEZ </t>
  </si>
  <si>
    <t>eduardo1227viana@gmail.com</t>
  </si>
  <si>
    <t>Parcial 3 (15%)</t>
  </si>
  <si>
    <t>Parcial 4 (15%)</t>
  </si>
  <si>
    <t>quiz 5</t>
  </si>
  <si>
    <t>quiz 6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</si>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</sst>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12" Type="http://schemas.microsoft.com/office/2017/10/relationships/person" Target="persons/person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3.xml"/><Relationship Id="rId5" Type="http://schemas.microsoft.com/office/2017/10/relationships/person" Target="persons/perso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C1" workbookViewId="0">
      <selection activeCell="G19" sqref="G19"/>
    </sheetView>
  </sheetViews>
  <sheetFormatPr baseColWidth="10" defaultColWidth="8.83203125" defaultRowHeight="15" x14ac:dyDescent="0.2"/>
  <cols>
    <col min="1" max="1" width="0" hidden="1" customWidth="1"/>
    <col min="2" max="2" width="9.1640625" hidden="1" customWidth="1"/>
    <col min="3" max="3" width="15" customWidth="1"/>
    <col min="4" max="4" width="20.1640625" customWidth="1"/>
    <col min="5" max="5" width="24" hidden="1" customWidth="1"/>
    <col min="6" max="6" width="12.5" customWidth="1"/>
    <col min="7" max="7" width="11.5" customWidth="1"/>
    <col min="8" max="8" width="16.1640625" customWidth="1"/>
    <col min="13" max="13" width="14" customWidth="1"/>
    <col min="14" max="14" width="16.83203125" customWidth="1"/>
    <col min="15" max="15" width="14.3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276</v>
      </c>
      <c r="O1" s="3" t="s">
        <v>277</v>
      </c>
      <c r="P1" s="4" t="s">
        <v>278</v>
      </c>
      <c r="Q1" s="4" t="s">
        <v>279</v>
      </c>
      <c r="R1" s="4" t="s">
        <v>280</v>
      </c>
    </row>
    <row r="2" spans="1:18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</v>
      </c>
      <c r="G2">
        <f>F2*0.15+I2*0.025+J2*0.025+K2*0.025+L2*0.025+M2*0.15+N2*0.15+O2*0.2+P2*0.025+Q2*0.025+R2*0.2</f>
        <v>15.4125</v>
      </c>
      <c r="H2">
        <v>100</v>
      </c>
      <c r="I2">
        <v>18</v>
      </c>
      <c r="J2">
        <v>18</v>
      </c>
      <c r="K2">
        <v>18.5</v>
      </c>
      <c r="L2">
        <v>10</v>
      </c>
      <c r="M2">
        <v>15.5</v>
      </c>
      <c r="N2">
        <v>15</v>
      </c>
      <c r="O2">
        <v>14.5</v>
      </c>
      <c r="Q2">
        <v>19</v>
      </c>
      <c r="R2">
        <v>18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17</v>
      </c>
      <c r="G3">
        <f t="shared" ref="G3:G66" si="0">F3*0.15+I3*0.025+J3*0.025+K3*0.025+L3*0.025+M3*0.15+N3*0.15+O3*0.2+P3*0.025+Q3*0.025+R3*0.2</f>
        <v>19.125</v>
      </c>
      <c r="H3">
        <v>100</v>
      </c>
      <c r="I3">
        <v>18</v>
      </c>
      <c r="J3">
        <v>15</v>
      </c>
      <c r="K3">
        <v>19</v>
      </c>
      <c r="L3">
        <v>20</v>
      </c>
      <c r="M3">
        <v>20</v>
      </c>
      <c r="N3">
        <v>20</v>
      </c>
      <c r="O3">
        <v>19</v>
      </c>
      <c r="P3">
        <v>19</v>
      </c>
      <c r="Q3">
        <v>20</v>
      </c>
      <c r="R3">
        <v>20</v>
      </c>
    </row>
    <row r="4" spans="1:18" x14ac:dyDescent="0.2">
      <c r="A4" t="s">
        <v>18</v>
      </c>
      <c r="B4" t="s">
        <v>23</v>
      </c>
      <c r="C4" t="s">
        <v>24</v>
      </c>
      <c r="D4" t="s">
        <v>25</v>
      </c>
      <c r="E4" t="s">
        <v>26</v>
      </c>
      <c r="G4">
        <f t="shared" si="0"/>
        <v>5.375</v>
      </c>
      <c r="H4">
        <v>62.5</v>
      </c>
      <c r="I4">
        <v>0</v>
      </c>
      <c r="J4">
        <v>0</v>
      </c>
      <c r="K4">
        <v>0</v>
      </c>
      <c r="L4">
        <v>0</v>
      </c>
      <c r="M4">
        <v>12.5</v>
      </c>
      <c r="N4">
        <v>11</v>
      </c>
      <c r="P4">
        <v>18</v>
      </c>
      <c r="R4">
        <v>7</v>
      </c>
    </row>
    <row r="5" spans="1:18" x14ac:dyDescent="0.2">
      <c r="A5" t="s">
        <v>13</v>
      </c>
      <c r="B5" t="s">
        <v>27</v>
      </c>
      <c r="C5" t="s">
        <v>28</v>
      </c>
      <c r="D5" t="s">
        <v>29</v>
      </c>
      <c r="E5" t="s">
        <v>30</v>
      </c>
      <c r="G5">
        <f t="shared" si="0"/>
        <v>0</v>
      </c>
      <c r="H5">
        <v>62.5</v>
      </c>
      <c r="I5">
        <v>0</v>
      </c>
      <c r="J5">
        <v>0</v>
      </c>
      <c r="K5">
        <v>0</v>
      </c>
      <c r="L5">
        <v>0</v>
      </c>
      <c r="M5">
        <v>0</v>
      </c>
    </row>
    <row r="6" spans="1:18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2</v>
      </c>
      <c r="G6">
        <f t="shared" si="0"/>
        <v>2.7</v>
      </c>
      <c r="H6">
        <v>100</v>
      </c>
      <c r="I6">
        <v>0</v>
      </c>
      <c r="J6">
        <v>17</v>
      </c>
      <c r="K6">
        <v>11</v>
      </c>
      <c r="L6">
        <v>8</v>
      </c>
      <c r="M6">
        <v>3</v>
      </c>
      <c r="N6">
        <v>7</v>
      </c>
    </row>
    <row r="7" spans="1:18" x14ac:dyDescent="0.2">
      <c r="A7" t="s">
        <v>18</v>
      </c>
      <c r="B7">
        <v>32008820</v>
      </c>
      <c r="C7" t="s">
        <v>36</v>
      </c>
      <c r="D7" t="s">
        <v>37</v>
      </c>
      <c r="E7" t="s">
        <v>38</v>
      </c>
      <c r="F7">
        <v>13.5</v>
      </c>
      <c r="G7">
        <f t="shared" si="0"/>
        <v>18.137500000000003</v>
      </c>
      <c r="H7">
        <v>100</v>
      </c>
      <c r="I7">
        <v>18</v>
      </c>
      <c r="J7">
        <v>18</v>
      </c>
      <c r="K7">
        <v>19.5</v>
      </c>
      <c r="L7">
        <v>20</v>
      </c>
      <c r="M7">
        <v>15</v>
      </c>
      <c r="N7">
        <v>20</v>
      </c>
      <c r="O7">
        <v>20</v>
      </c>
      <c r="P7">
        <v>19</v>
      </c>
      <c r="Q7">
        <v>20</v>
      </c>
      <c r="R7">
        <v>20</v>
      </c>
    </row>
    <row r="8" spans="1:18" x14ac:dyDescent="0.2">
      <c r="A8" t="s">
        <v>13</v>
      </c>
      <c r="B8" t="s">
        <v>39</v>
      </c>
      <c r="C8" t="s">
        <v>40</v>
      </c>
      <c r="D8" t="s">
        <v>41</v>
      </c>
      <c r="E8" t="s">
        <v>42</v>
      </c>
      <c r="F8">
        <v>3</v>
      </c>
      <c r="G8">
        <f t="shared" si="0"/>
        <v>2.7</v>
      </c>
      <c r="H8">
        <v>100</v>
      </c>
      <c r="I8">
        <v>0</v>
      </c>
      <c r="J8">
        <v>17</v>
      </c>
      <c r="K8">
        <v>7</v>
      </c>
      <c r="L8">
        <v>0</v>
      </c>
      <c r="M8">
        <v>3</v>
      </c>
      <c r="N8">
        <v>1</v>
      </c>
      <c r="O8">
        <v>1</v>
      </c>
      <c r="P8">
        <v>6</v>
      </c>
      <c r="Q8">
        <v>4</v>
      </c>
      <c r="R8">
        <v>3</v>
      </c>
    </row>
    <row r="9" spans="1:18" x14ac:dyDescent="0.2">
      <c r="A9" t="s">
        <v>31</v>
      </c>
      <c r="B9" t="s">
        <v>43</v>
      </c>
      <c r="C9" t="s">
        <v>44</v>
      </c>
      <c r="D9" t="s">
        <v>45</v>
      </c>
      <c r="E9" t="s">
        <v>46</v>
      </c>
      <c r="F9">
        <v>3</v>
      </c>
      <c r="G9">
        <f t="shared" si="0"/>
        <v>6.6375000000000002</v>
      </c>
      <c r="H9">
        <v>100</v>
      </c>
      <c r="I9">
        <v>12</v>
      </c>
      <c r="J9">
        <v>19</v>
      </c>
      <c r="K9">
        <v>10.5</v>
      </c>
      <c r="L9">
        <v>6</v>
      </c>
      <c r="M9">
        <v>11.5</v>
      </c>
      <c r="N9">
        <v>3</v>
      </c>
      <c r="O9">
        <v>5</v>
      </c>
      <c r="P9">
        <v>10</v>
      </c>
      <c r="Q9">
        <v>7</v>
      </c>
      <c r="R9">
        <v>7</v>
      </c>
    </row>
    <row r="10" spans="1:18" x14ac:dyDescent="0.2">
      <c r="A10" t="s">
        <v>13</v>
      </c>
      <c r="B10" t="s">
        <v>47</v>
      </c>
      <c r="C10" t="s">
        <v>48</v>
      </c>
      <c r="D10" t="s">
        <v>49</v>
      </c>
      <c r="E10" t="s">
        <v>50</v>
      </c>
      <c r="F10">
        <v>15.5</v>
      </c>
      <c r="G10">
        <f t="shared" si="0"/>
        <v>16.05</v>
      </c>
      <c r="H10">
        <v>100</v>
      </c>
      <c r="I10">
        <v>0</v>
      </c>
      <c r="J10">
        <v>17</v>
      </c>
      <c r="K10">
        <v>7</v>
      </c>
      <c r="L10">
        <v>6</v>
      </c>
      <c r="M10">
        <v>17</v>
      </c>
      <c r="N10">
        <v>20</v>
      </c>
      <c r="O10">
        <v>20</v>
      </c>
      <c r="P10">
        <v>13</v>
      </c>
      <c r="Q10">
        <v>20</v>
      </c>
      <c r="R10">
        <v>13</v>
      </c>
    </row>
    <row r="11" spans="1:18" x14ac:dyDescent="0.2">
      <c r="A11" t="s">
        <v>13</v>
      </c>
      <c r="B11" t="s">
        <v>51</v>
      </c>
      <c r="C11" t="s">
        <v>52</v>
      </c>
      <c r="D11" t="s">
        <v>53</v>
      </c>
      <c r="E11" t="s">
        <v>54</v>
      </c>
      <c r="F11">
        <v>17</v>
      </c>
      <c r="G11">
        <f t="shared" si="0"/>
        <v>16.5625</v>
      </c>
      <c r="H11">
        <v>100</v>
      </c>
      <c r="I11">
        <v>16</v>
      </c>
      <c r="J11">
        <v>15</v>
      </c>
      <c r="K11">
        <v>18.5</v>
      </c>
      <c r="L11">
        <v>12</v>
      </c>
      <c r="M11">
        <v>16.5</v>
      </c>
      <c r="N11">
        <v>18</v>
      </c>
      <c r="O11">
        <v>16.5</v>
      </c>
      <c r="P11">
        <v>16</v>
      </c>
      <c r="Q11">
        <v>16</v>
      </c>
      <c r="R11">
        <v>16</v>
      </c>
    </row>
    <row r="12" spans="1:18" x14ac:dyDescent="0.2">
      <c r="A12" t="s">
        <v>31</v>
      </c>
      <c r="B12" t="s">
        <v>55</v>
      </c>
      <c r="C12" t="s">
        <v>56</v>
      </c>
      <c r="D12" t="s">
        <v>57</v>
      </c>
      <c r="E12" t="s">
        <v>58</v>
      </c>
      <c r="F12">
        <v>3</v>
      </c>
      <c r="G12">
        <f t="shared" si="0"/>
        <v>12.299999999999999</v>
      </c>
      <c r="H12">
        <v>100</v>
      </c>
      <c r="I12">
        <v>16</v>
      </c>
      <c r="J12">
        <v>16</v>
      </c>
      <c r="K12">
        <v>11</v>
      </c>
      <c r="L12">
        <v>20</v>
      </c>
      <c r="M12">
        <v>2</v>
      </c>
      <c r="N12">
        <v>20</v>
      </c>
      <c r="O12">
        <v>16</v>
      </c>
      <c r="P12">
        <v>19</v>
      </c>
      <c r="Q12">
        <v>20</v>
      </c>
      <c r="R12">
        <v>14</v>
      </c>
    </row>
    <row r="13" spans="1:18" x14ac:dyDescent="0.2">
      <c r="A13" t="s">
        <v>18</v>
      </c>
      <c r="B13" t="s">
        <v>59</v>
      </c>
      <c r="C13" t="s">
        <v>60</v>
      </c>
      <c r="D13" t="s">
        <v>61</v>
      </c>
      <c r="E13" t="s">
        <v>62</v>
      </c>
      <c r="G13">
        <f t="shared" si="0"/>
        <v>0</v>
      </c>
      <c r="H13">
        <v>62.5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8" x14ac:dyDescent="0.2">
      <c r="A14" t="s">
        <v>18</v>
      </c>
      <c r="B14" t="s">
        <v>63</v>
      </c>
      <c r="C14" t="s">
        <v>64</v>
      </c>
      <c r="D14" t="s">
        <v>65</v>
      </c>
      <c r="E14" t="s">
        <v>66</v>
      </c>
      <c r="F14">
        <v>1</v>
      </c>
      <c r="G14">
        <f t="shared" si="0"/>
        <v>2.125</v>
      </c>
      <c r="H14">
        <v>100</v>
      </c>
      <c r="I14">
        <v>20</v>
      </c>
      <c r="J14">
        <v>18</v>
      </c>
      <c r="K14">
        <v>5</v>
      </c>
      <c r="L14">
        <v>3</v>
      </c>
      <c r="M14">
        <v>1</v>
      </c>
      <c r="N14">
        <v>4.5</v>
      </c>
    </row>
    <row r="15" spans="1:18" x14ac:dyDescent="0.2">
      <c r="A15" t="s">
        <v>13</v>
      </c>
      <c r="B15" t="s">
        <v>67</v>
      </c>
      <c r="C15" t="s">
        <v>68</v>
      </c>
      <c r="D15" t="s">
        <v>69</v>
      </c>
      <c r="E15" t="s">
        <v>70</v>
      </c>
      <c r="F15">
        <v>7</v>
      </c>
      <c r="G15">
        <f t="shared" si="0"/>
        <v>7.3625000000000007</v>
      </c>
      <c r="H15">
        <v>100</v>
      </c>
      <c r="I15">
        <v>20</v>
      </c>
      <c r="J15">
        <v>17</v>
      </c>
      <c r="K15">
        <v>6.5</v>
      </c>
      <c r="L15">
        <v>12</v>
      </c>
      <c r="M15">
        <v>4.5</v>
      </c>
      <c r="N15">
        <v>3</v>
      </c>
      <c r="O15">
        <v>2</v>
      </c>
      <c r="P15">
        <v>18</v>
      </c>
      <c r="Q15">
        <v>6</v>
      </c>
      <c r="R15">
        <v>14</v>
      </c>
    </row>
    <row r="16" spans="1:18" x14ac:dyDescent="0.2">
      <c r="A16" t="s">
        <v>18</v>
      </c>
      <c r="B16" t="s">
        <v>71</v>
      </c>
      <c r="C16" t="s">
        <v>72</v>
      </c>
      <c r="D16" t="s">
        <v>73</v>
      </c>
      <c r="E16" t="s">
        <v>74</v>
      </c>
      <c r="F16">
        <v>5.5</v>
      </c>
      <c r="G16">
        <f t="shared" si="0"/>
        <v>12.0375</v>
      </c>
      <c r="H16">
        <v>100</v>
      </c>
      <c r="I16">
        <v>18</v>
      </c>
      <c r="J16">
        <v>20</v>
      </c>
      <c r="K16">
        <v>10.5</v>
      </c>
      <c r="L16">
        <v>20</v>
      </c>
      <c r="M16">
        <v>15</v>
      </c>
      <c r="N16">
        <v>6</v>
      </c>
      <c r="O16">
        <v>14</v>
      </c>
      <c r="P16">
        <v>18</v>
      </c>
      <c r="Q16">
        <v>20</v>
      </c>
      <c r="R16">
        <v>13</v>
      </c>
    </row>
    <row r="17" spans="1:18" x14ac:dyDescent="0.2">
      <c r="A17" t="s">
        <v>31</v>
      </c>
      <c r="B17" t="s">
        <v>75</v>
      </c>
      <c r="C17" t="s">
        <v>76</v>
      </c>
      <c r="D17" t="s">
        <v>77</v>
      </c>
      <c r="E17" t="s">
        <v>78</v>
      </c>
      <c r="F17">
        <v>1</v>
      </c>
      <c r="G17">
        <f t="shared" si="0"/>
        <v>1.4749999999999999</v>
      </c>
      <c r="H17">
        <v>100</v>
      </c>
      <c r="I17">
        <v>18</v>
      </c>
      <c r="J17">
        <v>19</v>
      </c>
      <c r="K17">
        <v>4</v>
      </c>
      <c r="L17">
        <v>0</v>
      </c>
      <c r="M17">
        <v>1</v>
      </c>
      <c r="N17">
        <v>1</v>
      </c>
    </row>
    <row r="18" spans="1:18" x14ac:dyDescent="0.2">
      <c r="A18" t="s">
        <v>18</v>
      </c>
      <c r="B18" t="s">
        <v>79</v>
      </c>
      <c r="C18" t="s">
        <v>80</v>
      </c>
      <c r="D18" t="s">
        <v>81</v>
      </c>
      <c r="E18" t="s">
        <v>82</v>
      </c>
      <c r="F18">
        <v>1</v>
      </c>
      <c r="G18">
        <f t="shared" si="0"/>
        <v>1.2874999999999999</v>
      </c>
      <c r="H18">
        <v>100</v>
      </c>
      <c r="I18">
        <v>4</v>
      </c>
      <c r="J18">
        <v>2</v>
      </c>
      <c r="K18">
        <v>8.5</v>
      </c>
      <c r="L18">
        <v>3</v>
      </c>
      <c r="M18">
        <v>2.5</v>
      </c>
      <c r="P18">
        <v>13</v>
      </c>
    </row>
    <row r="19" spans="1:18" x14ac:dyDescent="0.2">
      <c r="A19" t="s">
        <v>31</v>
      </c>
      <c r="B19" t="s">
        <v>83</v>
      </c>
      <c r="C19" t="s">
        <v>84</v>
      </c>
      <c r="D19" t="s">
        <v>85</v>
      </c>
      <c r="E19" t="s">
        <v>86</v>
      </c>
      <c r="F19">
        <v>9</v>
      </c>
      <c r="G19">
        <f t="shared" si="0"/>
        <v>12.7875</v>
      </c>
      <c r="H19">
        <v>62.5</v>
      </c>
      <c r="I19">
        <v>8</v>
      </c>
      <c r="J19">
        <v>20</v>
      </c>
      <c r="K19">
        <v>11.5</v>
      </c>
      <c r="L19">
        <v>3</v>
      </c>
      <c r="M19">
        <v>12</v>
      </c>
      <c r="N19">
        <v>16</v>
      </c>
      <c r="O19">
        <v>16</v>
      </c>
      <c r="P19">
        <v>19</v>
      </c>
      <c r="Q19">
        <v>20</v>
      </c>
      <c r="R19">
        <v>10</v>
      </c>
    </row>
    <row r="20" spans="1:18" x14ac:dyDescent="0.2">
      <c r="A20" t="s">
        <v>18</v>
      </c>
      <c r="B20" t="s">
        <v>87</v>
      </c>
      <c r="C20" t="s">
        <v>80</v>
      </c>
      <c r="D20" t="s">
        <v>88</v>
      </c>
      <c r="E20" t="s">
        <v>89</v>
      </c>
      <c r="F20">
        <v>2</v>
      </c>
      <c r="G20">
        <f t="shared" si="0"/>
        <v>8.875</v>
      </c>
      <c r="H20">
        <v>100</v>
      </c>
      <c r="I20">
        <v>18</v>
      </c>
      <c r="J20">
        <v>20</v>
      </c>
      <c r="K20">
        <v>7</v>
      </c>
      <c r="L20">
        <v>0</v>
      </c>
      <c r="M20">
        <v>10</v>
      </c>
      <c r="N20">
        <v>1</v>
      </c>
      <c r="O20">
        <v>20</v>
      </c>
      <c r="P20">
        <v>16</v>
      </c>
      <c r="Q20">
        <v>8</v>
      </c>
      <c r="R20">
        <v>6</v>
      </c>
    </row>
    <row r="21" spans="1:18" x14ac:dyDescent="0.2">
      <c r="A21" t="s">
        <v>18</v>
      </c>
      <c r="B21" t="s">
        <v>90</v>
      </c>
      <c r="C21" t="s">
        <v>91</v>
      </c>
      <c r="D21" t="s">
        <v>92</v>
      </c>
      <c r="E21" t="s">
        <v>93</v>
      </c>
      <c r="G21">
        <f t="shared" si="0"/>
        <v>3.9249999999999998</v>
      </c>
      <c r="H21">
        <v>62.5</v>
      </c>
      <c r="I21">
        <v>16</v>
      </c>
      <c r="J21">
        <v>19</v>
      </c>
      <c r="K21">
        <v>7</v>
      </c>
      <c r="L21">
        <v>0</v>
      </c>
      <c r="M21">
        <v>12</v>
      </c>
      <c r="N21">
        <v>4</v>
      </c>
      <c r="P21">
        <v>19</v>
      </c>
    </row>
    <row r="22" spans="1:18" x14ac:dyDescent="0.2">
      <c r="A22" t="s">
        <v>31</v>
      </c>
      <c r="B22" t="s">
        <v>94</v>
      </c>
      <c r="C22" t="s">
        <v>95</v>
      </c>
      <c r="D22" t="s">
        <v>96</v>
      </c>
      <c r="E22" t="s">
        <v>97</v>
      </c>
      <c r="F22">
        <v>6</v>
      </c>
      <c r="G22">
        <f t="shared" si="0"/>
        <v>4.1749999999999998</v>
      </c>
      <c r="H22">
        <v>100</v>
      </c>
      <c r="I22">
        <v>18</v>
      </c>
      <c r="J22">
        <v>19</v>
      </c>
      <c r="K22">
        <v>11</v>
      </c>
      <c r="L22">
        <v>6</v>
      </c>
      <c r="M22">
        <v>8</v>
      </c>
      <c r="N22">
        <v>2</v>
      </c>
      <c r="P22">
        <v>17</v>
      </c>
    </row>
    <row r="23" spans="1:18" x14ac:dyDescent="0.2">
      <c r="A23" t="s">
        <v>31</v>
      </c>
      <c r="B23" t="s">
        <v>98</v>
      </c>
      <c r="C23" t="s">
        <v>99</v>
      </c>
      <c r="D23" t="s">
        <v>100</v>
      </c>
      <c r="E23" t="s">
        <v>101</v>
      </c>
      <c r="F23">
        <v>8</v>
      </c>
      <c r="G23">
        <f t="shared" si="0"/>
        <v>10.5375</v>
      </c>
      <c r="H23">
        <v>100</v>
      </c>
      <c r="I23">
        <v>10</v>
      </c>
      <c r="J23">
        <v>18</v>
      </c>
      <c r="K23">
        <v>4.5</v>
      </c>
      <c r="L23">
        <v>3</v>
      </c>
      <c r="M23">
        <v>1</v>
      </c>
      <c r="N23">
        <v>11</v>
      </c>
      <c r="O23">
        <v>18</v>
      </c>
      <c r="P23">
        <v>12</v>
      </c>
      <c r="Q23">
        <v>14</v>
      </c>
      <c r="R23">
        <v>12</v>
      </c>
    </row>
    <row r="24" spans="1:18" x14ac:dyDescent="0.2">
      <c r="A24" t="s">
        <v>13</v>
      </c>
      <c r="B24" t="s">
        <v>102</v>
      </c>
      <c r="C24" t="s">
        <v>103</v>
      </c>
      <c r="D24" t="s">
        <v>104</v>
      </c>
      <c r="E24" t="s">
        <v>105</v>
      </c>
      <c r="F24">
        <v>3</v>
      </c>
      <c r="G24">
        <f t="shared" si="0"/>
        <v>1.6</v>
      </c>
      <c r="H24">
        <v>100</v>
      </c>
      <c r="I24">
        <v>14</v>
      </c>
      <c r="J24">
        <v>19</v>
      </c>
      <c r="K24">
        <v>13</v>
      </c>
      <c r="L24">
        <v>0</v>
      </c>
      <c r="M24">
        <v>0</v>
      </c>
    </row>
    <row r="25" spans="1:18" x14ac:dyDescent="0.2">
      <c r="A25" t="s">
        <v>13</v>
      </c>
      <c r="B25" t="s">
        <v>106</v>
      </c>
      <c r="C25" t="s">
        <v>107</v>
      </c>
      <c r="D25" t="s">
        <v>108</v>
      </c>
      <c r="E25" t="s">
        <v>109</v>
      </c>
      <c r="F25">
        <v>8</v>
      </c>
      <c r="G25">
        <f t="shared" si="0"/>
        <v>4.2374999999999998</v>
      </c>
      <c r="H25">
        <v>100</v>
      </c>
      <c r="I25">
        <v>18</v>
      </c>
      <c r="J25">
        <v>18</v>
      </c>
      <c r="K25">
        <v>4.5</v>
      </c>
      <c r="L25">
        <v>6</v>
      </c>
      <c r="M25">
        <v>7</v>
      </c>
      <c r="N25">
        <v>1</v>
      </c>
      <c r="O25">
        <v>1</v>
      </c>
      <c r="P25">
        <v>14</v>
      </c>
      <c r="Q25">
        <v>5</v>
      </c>
    </row>
    <row r="26" spans="1:18" x14ac:dyDescent="0.2">
      <c r="A26" t="s">
        <v>31</v>
      </c>
      <c r="B26" t="s">
        <v>110</v>
      </c>
      <c r="C26" t="s">
        <v>111</v>
      </c>
      <c r="D26" t="s">
        <v>112</v>
      </c>
      <c r="E26" t="s">
        <v>113</v>
      </c>
      <c r="F26">
        <v>1</v>
      </c>
      <c r="G26">
        <f t="shared" si="0"/>
        <v>4.2374999999999998</v>
      </c>
      <c r="H26">
        <v>100</v>
      </c>
      <c r="I26">
        <v>20</v>
      </c>
      <c r="J26">
        <v>19</v>
      </c>
      <c r="K26">
        <v>7.5</v>
      </c>
      <c r="L26">
        <v>6</v>
      </c>
      <c r="M26">
        <v>2</v>
      </c>
      <c r="N26">
        <v>12</v>
      </c>
      <c r="O26">
        <v>1</v>
      </c>
      <c r="P26">
        <v>19</v>
      </c>
    </row>
    <row r="27" spans="1:18" x14ac:dyDescent="0.2">
      <c r="A27" t="s">
        <v>31</v>
      </c>
      <c r="B27" t="s">
        <v>114</v>
      </c>
      <c r="C27" t="s">
        <v>115</v>
      </c>
      <c r="D27" t="s">
        <v>116</v>
      </c>
      <c r="E27" t="s">
        <v>117</v>
      </c>
      <c r="G27">
        <f t="shared" si="0"/>
        <v>0</v>
      </c>
      <c r="H27">
        <v>62.5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8" x14ac:dyDescent="0.2">
      <c r="A28" t="s">
        <v>31</v>
      </c>
      <c r="B28" t="s">
        <v>118</v>
      </c>
      <c r="C28" t="s">
        <v>119</v>
      </c>
      <c r="D28" t="s">
        <v>120</v>
      </c>
      <c r="E28" t="s">
        <v>121</v>
      </c>
      <c r="F28">
        <v>5</v>
      </c>
      <c r="G28">
        <f t="shared" si="0"/>
        <v>6.2750000000000004</v>
      </c>
      <c r="H28">
        <v>100</v>
      </c>
      <c r="I28">
        <v>14</v>
      </c>
      <c r="J28">
        <v>0</v>
      </c>
      <c r="K28">
        <v>16</v>
      </c>
      <c r="L28">
        <v>10</v>
      </c>
      <c r="M28">
        <v>4</v>
      </c>
      <c r="N28">
        <v>6.5</v>
      </c>
      <c r="O28">
        <v>1</v>
      </c>
      <c r="P28">
        <v>8</v>
      </c>
      <c r="Q28">
        <v>14</v>
      </c>
      <c r="R28">
        <v>11</v>
      </c>
    </row>
    <row r="29" spans="1:18" x14ac:dyDescent="0.2">
      <c r="A29" t="s">
        <v>31</v>
      </c>
      <c r="B29">
        <v>32759137</v>
      </c>
      <c r="C29" t="s">
        <v>122</v>
      </c>
      <c r="D29" t="s">
        <v>123</v>
      </c>
      <c r="E29" t="s">
        <v>124</v>
      </c>
      <c r="F29">
        <v>6</v>
      </c>
      <c r="G29">
        <f t="shared" si="0"/>
        <v>3.6375000000000002</v>
      </c>
      <c r="H29">
        <v>100</v>
      </c>
      <c r="I29">
        <v>18</v>
      </c>
      <c r="J29">
        <v>19</v>
      </c>
      <c r="K29">
        <v>7.5</v>
      </c>
      <c r="L29">
        <v>1</v>
      </c>
      <c r="M29">
        <v>4</v>
      </c>
      <c r="N29">
        <v>4</v>
      </c>
      <c r="P29">
        <v>16</v>
      </c>
    </row>
    <row r="30" spans="1:18" x14ac:dyDescent="0.2">
      <c r="A30" t="s">
        <v>13</v>
      </c>
      <c r="B30" t="s">
        <v>125</v>
      </c>
      <c r="C30" t="s">
        <v>126</v>
      </c>
      <c r="D30" t="s">
        <v>127</v>
      </c>
      <c r="E30" t="s">
        <v>128</v>
      </c>
      <c r="F30">
        <v>9</v>
      </c>
      <c r="G30">
        <f t="shared" si="0"/>
        <v>6.0875000000000004</v>
      </c>
      <c r="H30">
        <v>100</v>
      </c>
      <c r="I30">
        <v>16</v>
      </c>
      <c r="J30">
        <v>19</v>
      </c>
      <c r="K30">
        <v>6.5</v>
      </c>
      <c r="L30">
        <v>3</v>
      </c>
      <c r="M30">
        <v>16.5</v>
      </c>
      <c r="N30">
        <v>5</v>
      </c>
      <c r="O30">
        <v>1</v>
      </c>
      <c r="P30">
        <v>8</v>
      </c>
    </row>
    <row r="31" spans="1:18" x14ac:dyDescent="0.2">
      <c r="A31" t="s">
        <v>13</v>
      </c>
      <c r="B31" t="s">
        <v>129</v>
      </c>
      <c r="C31" t="s">
        <v>130</v>
      </c>
      <c r="D31" t="s">
        <v>131</v>
      </c>
      <c r="E31" t="s">
        <v>132</v>
      </c>
      <c r="F31">
        <v>6.5</v>
      </c>
      <c r="G31">
        <f t="shared" si="0"/>
        <v>3.0250000000000004</v>
      </c>
      <c r="H31">
        <v>100</v>
      </c>
      <c r="I31">
        <v>16</v>
      </c>
      <c r="J31">
        <v>19</v>
      </c>
      <c r="K31">
        <v>8</v>
      </c>
      <c r="L31">
        <v>12</v>
      </c>
      <c r="M31">
        <v>1</v>
      </c>
      <c r="N31">
        <v>1</v>
      </c>
      <c r="O31">
        <v>1</v>
      </c>
      <c r="P31">
        <v>7</v>
      </c>
    </row>
    <row r="32" spans="1:18" x14ac:dyDescent="0.2">
      <c r="A32" t="s">
        <v>31</v>
      </c>
      <c r="B32" t="s">
        <v>133</v>
      </c>
      <c r="C32" t="s">
        <v>134</v>
      </c>
      <c r="D32" t="s">
        <v>135</v>
      </c>
      <c r="E32" t="s">
        <v>136</v>
      </c>
      <c r="F32">
        <v>4</v>
      </c>
      <c r="G32">
        <f t="shared" si="0"/>
        <v>11.775</v>
      </c>
      <c r="H32">
        <v>100</v>
      </c>
      <c r="I32">
        <v>14</v>
      </c>
      <c r="J32">
        <v>16</v>
      </c>
      <c r="K32">
        <v>13</v>
      </c>
      <c r="L32">
        <v>0</v>
      </c>
      <c r="M32">
        <v>6</v>
      </c>
      <c r="N32">
        <v>15</v>
      </c>
      <c r="O32">
        <v>12</v>
      </c>
      <c r="P32">
        <v>19</v>
      </c>
      <c r="Q32">
        <v>19</v>
      </c>
      <c r="R32">
        <v>18</v>
      </c>
    </row>
    <row r="33" spans="1:18" x14ac:dyDescent="0.2">
      <c r="A33" t="s">
        <v>18</v>
      </c>
      <c r="B33" t="s">
        <v>137</v>
      </c>
      <c r="C33" t="s">
        <v>138</v>
      </c>
      <c r="D33" t="s">
        <v>139</v>
      </c>
      <c r="E33" t="s">
        <v>140</v>
      </c>
      <c r="F33">
        <v>2</v>
      </c>
      <c r="G33">
        <f t="shared" si="0"/>
        <v>2.8375000000000004</v>
      </c>
      <c r="H33">
        <v>100</v>
      </c>
      <c r="I33">
        <v>14</v>
      </c>
      <c r="J33">
        <v>12</v>
      </c>
      <c r="K33">
        <v>7.5</v>
      </c>
      <c r="L33">
        <v>1</v>
      </c>
      <c r="M33">
        <v>6</v>
      </c>
      <c r="N33">
        <v>1</v>
      </c>
      <c r="O33">
        <v>1</v>
      </c>
      <c r="P33">
        <v>17</v>
      </c>
    </row>
    <row r="34" spans="1:18" x14ac:dyDescent="0.2">
      <c r="A34" t="s">
        <v>31</v>
      </c>
      <c r="B34" t="s">
        <v>141</v>
      </c>
      <c r="C34" t="s">
        <v>142</v>
      </c>
      <c r="D34" t="s">
        <v>143</v>
      </c>
      <c r="E34" t="s">
        <v>144</v>
      </c>
      <c r="F34">
        <v>8</v>
      </c>
      <c r="G34">
        <f t="shared" si="0"/>
        <v>10.725</v>
      </c>
      <c r="H34">
        <v>100</v>
      </c>
      <c r="I34">
        <v>14</v>
      </c>
      <c r="J34">
        <v>15</v>
      </c>
      <c r="K34">
        <v>18</v>
      </c>
      <c r="L34">
        <v>6</v>
      </c>
      <c r="M34">
        <v>5.5</v>
      </c>
      <c r="N34">
        <v>3</v>
      </c>
      <c r="O34">
        <v>15</v>
      </c>
      <c r="P34">
        <v>17</v>
      </c>
      <c r="Q34">
        <v>12</v>
      </c>
      <c r="R34">
        <v>16</v>
      </c>
    </row>
    <row r="35" spans="1:18" x14ac:dyDescent="0.2">
      <c r="A35" t="s">
        <v>31</v>
      </c>
      <c r="B35" t="s">
        <v>145</v>
      </c>
      <c r="C35" t="s">
        <v>146</v>
      </c>
      <c r="D35" t="s">
        <v>147</v>
      </c>
      <c r="E35" t="s">
        <v>148</v>
      </c>
      <c r="F35">
        <v>14</v>
      </c>
      <c r="G35">
        <f t="shared" si="0"/>
        <v>16.9375</v>
      </c>
      <c r="H35">
        <v>100</v>
      </c>
      <c r="I35">
        <v>16</v>
      </c>
      <c r="J35">
        <v>18</v>
      </c>
      <c r="K35">
        <v>19.5</v>
      </c>
      <c r="L35">
        <v>18</v>
      </c>
      <c r="M35">
        <v>10</v>
      </c>
      <c r="N35">
        <v>20</v>
      </c>
      <c r="O35">
        <v>18</v>
      </c>
      <c r="P35">
        <v>18</v>
      </c>
      <c r="Q35">
        <v>20</v>
      </c>
      <c r="R35">
        <v>20</v>
      </c>
    </row>
    <row r="36" spans="1:18" x14ac:dyDescent="0.2">
      <c r="A36" t="s">
        <v>31</v>
      </c>
      <c r="B36" t="s">
        <v>149</v>
      </c>
      <c r="C36" t="s">
        <v>150</v>
      </c>
      <c r="D36" t="s">
        <v>151</v>
      </c>
      <c r="E36" t="s">
        <v>152</v>
      </c>
      <c r="F36">
        <v>2</v>
      </c>
      <c r="G36">
        <f t="shared" si="0"/>
        <v>2.2000000000000002</v>
      </c>
      <c r="H36">
        <v>100</v>
      </c>
      <c r="I36">
        <v>0</v>
      </c>
      <c r="J36">
        <v>19</v>
      </c>
      <c r="K36">
        <v>15</v>
      </c>
      <c r="L36">
        <v>0</v>
      </c>
      <c r="M36">
        <v>7</v>
      </c>
    </row>
    <row r="37" spans="1:18" x14ac:dyDescent="0.2">
      <c r="A37" t="s">
        <v>31</v>
      </c>
      <c r="B37" t="s">
        <v>153</v>
      </c>
      <c r="C37" t="s">
        <v>154</v>
      </c>
      <c r="D37" t="s">
        <v>155</v>
      </c>
      <c r="E37" t="s">
        <v>156</v>
      </c>
      <c r="F37">
        <v>3</v>
      </c>
      <c r="G37">
        <f t="shared" si="0"/>
        <v>4.3875000000000002</v>
      </c>
      <c r="H37">
        <v>100</v>
      </c>
      <c r="I37">
        <v>18</v>
      </c>
      <c r="J37">
        <v>19</v>
      </c>
      <c r="K37">
        <v>12.5</v>
      </c>
      <c r="L37">
        <v>3</v>
      </c>
      <c r="M37">
        <v>3</v>
      </c>
      <c r="N37">
        <v>7</v>
      </c>
      <c r="O37">
        <v>5</v>
      </c>
      <c r="P37">
        <v>5</v>
      </c>
    </row>
    <row r="38" spans="1:18" x14ac:dyDescent="0.2">
      <c r="A38" t="s">
        <v>18</v>
      </c>
      <c r="B38" t="s">
        <v>157</v>
      </c>
      <c r="C38" t="s">
        <v>158</v>
      </c>
      <c r="D38" t="s">
        <v>159</v>
      </c>
      <c r="E38" t="s">
        <v>160</v>
      </c>
      <c r="F38">
        <v>1</v>
      </c>
      <c r="G38">
        <f t="shared" si="0"/>
        <v>4.125</v>
      </c>
      <c r="H38">
        <v>100</v>
      </c>
      <c r="I38">
        <v>16</v>
      </c>
      <c r="J38">
        <v>19</v>
      </c>
      <c r="K38">
        <v>0</v>
      </c>
      <c r="L38">
        <v>0</v>
      </c>
      <c r="M38">
        <v>1</v>
      </c>
      <c r="O38">
        <v>10</v>
      </c>
      <c r="P38">
        <v>14</v>
      </c>
      <c r="R38">
        <v>3</v>
      </c>
    </row>
    <row r="39" spans="1:18" x14ac:dyDescent="0.2">
      <c r="A39" t="s">
        <v>18</v>
      </c>
      <c r="B39" t="s">
        <v>161</v>
      </c>
      <c r="C39" t="s">
        <v>162</v>
      </c>
      <c r="D39" t="s">
        <v>163</v>
      </c>
      <c r="E39" t="s">
        <v>164</v>
      </c>
      <c r="F39">
        <v>1</v>
      </c>
      <c r="G39">
        <f t="shared" si="0"/>
        <v>1.6875</v>
      </c>
      <c r="H39">
        <v>100</v>
      </c>
      <c r="I39">
        <v>16</v>
      </c>
      <c r="J39">
        <v>18</v>
      </c>
      <c r="K39">
        <v>1.5</v>
      </c>
      <c r="L39">
        <v>0</v>
      </c>
      <c r="M39">
        <v>1</v>
      </c>
      <c r="N39">
        <v>1</v>
      </c>
      <c r="O39">
        <v>1</v>
      </c>
      <c r="Q39">
        <v>6</v>
      </c>
    </row>
    <row r="40" spans="1:18" x14ac:dyDescent="0.2">
      <c r="A40" t="s">
        <v>31</v>
      </c>
      <c r="B40" t="s">
        <v>165</v>
      </c>
      <c r="C40" t="s">
        <v>166</v>
      </c>
      <c r="D40" t="s">
        <v>167</v>
      </c>
      <c r="E40" t="s">
        <v>168</v>
      </c>
      <c r="G40">
        <f t="shared" si="0"/>
        <v>0</v>
      </c>
      <c r="H40">
        <v>62.5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8" x14ac:dyDescent="0.2">
      <c r="A41" t="s">
        <v>31</v>
      </c>
      <c r="B41" t="s">
        <v>169</v>
      </c>
      <c r="C41" t="s">
        <v>170</v>
      </c>
      <c r="D41" t="s">
        <v>171</v>
      </c>
      <c r="E41" t="s">
        <v>172</v>
      </c>
      <c r="F41">
        <v>11</v>
      </c>
      <c r="G41">
        <f t="shared" si="0"/>
        <v>10.3375</v>
      </c>
      <c r="H41">
        <v>100</v>
      </c>
      <c r="I41">
        <v>12</v>
      </c>
      <c r="J41">
        <v>0</v>
      </c>
      <c r="K41">
        <v>17.5</v>
      </c>
      <c r="L41">
        <v>1</v>
      </c>
      <c r="M41">
        <v>19.5</v>
      </c>
      <c r="N41">
        <v>1.5</v>
      </c>
      <c r="O41">
        <v>13</v>
      </c>
      <c r="P41">
        <v>7</v>
      </c>
      <c r="Q41">
        <v>16</v>
      </c>
      <c r="R41">
        <v>8</v>
      </c>
    </row>
    <row r="42" spans="1:18" x14ac:dyDescent="0.2">
      <c r="A42" t="s">
        <v>18</v>
      </c>
      <c r="B42" t="s">
        <v>173</v>
      </c>
      <c r="C42" t="s">
        <v>174</v>
      </c>
      <c r="D42" t="s">
        <v>175</v>
      </c>
      <c r="E42" t="s">
        <v>176</v>
      </c>
      <c r="F42">
        <v>4</v>
      </c>
      <c r="G42">
        <f t="shared" si="0"/>
        <v>5.2374999999999998</v>
      </c>
      <c r="H42">
        <v>100</v>
      </c>
      <c r="I42">
        <v>20</v>
      </c>
      <c r="J42">
        <v>20</v>
      </c>
      <c r="K42">
        <v>7.5</v>
      </c>
      <c r="L42">
        <v>10</v>
      </c>
      <c r="M42">
        <v>4</v>
      </c>
      <c r="N42">
        <v>7</v>
      </c>
      <c r="O42">
        <v>1</v>
      </c>
      <c r="P42">
        <v>7</v>
      </c>
      <c r="Q42">
        <v>7</v>
      </c>
      <c r="R42">
        <v>5</v>
      </c>
    </row>
    <row r="43" spans="1:18" x14ac:dyDescent="0.2">
      <c r="A43" t="s">
        <v>31</v>
      </c>
      <c r="B43" t="s">
        <v>177</v>
      </c>
      <c r="C43" t="s">
        <v>178</v>
      </c>
      <c r="D43" t="s">
        <v>179</v>
      </c>
      <c r="E43" t="s">
        <v>180</v>
      </c>
      <c r="F43">
        <v>1</v>
      </c>
      <c r="G43">
        <f t="shared" si="0"/>
        <v>1.825</v>
      </c>
      <c r="H43">
        <v>100</v>
      </c>
      <c r="I43">
        <v>16</v>
      </c>
      <c r="J43">
        <v>20</v>
      </c>
      <c r="K43">
        <v>9</v>
      </c>
      <c r="L43">
        <v>1</v>
      </c>
      <c r="M43">
        <v>2.5</v>
      </c>
      <c r="N43">
        <v>1</v>
      </c>
    </row>
    <row r="44" spans="1:18" x14ac:dyDescent="0.2">
      <c r="A44" t="s">
        <v>18</v>
      </c>
      <c r="B44" t="s">
        <v>181</v>
      </c>
      <c r="C44" t="s">
        <v>182</v>
      </c>
      <c r="D44" t="s">
        <v>183</v>
      </c>
      <c r="E44" t="s">
        <v>184</v>
      </c>
      <c r="F44">
        <v>1</v>
      </c>
      <c r="G44">
        <f t="shared" si="0"/>
        <v>3</v>
      </c>
      <c r="H44">
        <v>100</v>
      </c>
      <c r="I44">
        <v>0</v>
      </c>
      <c r="J44">
        <v>19</v>
      </c>
      <c r="K44">
        <v>7</v>
      </c>
      <c r="L44">
        <v>0</v>
      </c>
      <c r="M44">
        <v>2.5</v>
      </c>
      <c r="N44">
        <v>1</v>
      </c>
      <c r="O44">
        <v>5</v>
      </c>
      <c r="P44">
        <v>11</v>
      </c>
      <c r="R44">
        <v>2</v>
      </c>
    </row>
    <row r="45" spans="1:18" x14ac:dyDescent="0.2">
      <c r="A45" t="s">
        <v>31</v>
      </c>
      <c r="B45" t="s">
        <v>185</v>
      </c>
      <c r="C45" t="s">
        <v>186</v>
      </c>
      <c r="D45" t="s">
        <v>187</v>
      </c>
      <c r="E45" t="s">
        <v>188</v>
      </c>
      <c r="F45">
        <v>4</v>
      </c>
      <c r="G45">
        <f t="shared" si="0"/>
        <v>2.6624999999999996</v>
      </c>
      <c r="H45">
        <v>100</v>
      </c>
      <c r="I45">
        <v>18</v>
      </c>
      <c r="J45">
        <v>19</v>
      </c>
      <c r="K45">
        <v>11.5</v>
      </c>
      <c r="L45">
        <v>10</v>
      </c>
      <c r="M45">
        <v>2</v>
      </c>
      <c r="N45">
        <v>1</v>
      </c>
      <c r="P45">
        <v>6</v>
      </c>
    </row>
    <row r="46" spans="1:18" x14ac:dyDescent="0.2">
      <c r="A46" t="s">
        <v>18</v>
      </c>
      <c r="B46" t="s">
        <v>189</v>
      </c>
      <c r="C46" t="s">
        <v>190</v>
      </c>
      <c r="D46" t="s">
        <v>191</v>
      </c>
      <c r="E46" t="s">
        <v>192</v>
      </c>
      <c r="F46">
        <v>11</v>
      </c>
      <c r="G46">
        <f t="shared" si="0"/>
        <v>11.887500000000003</v>
      </c>
      <c r="H46">
        <v>100</v>
      </c>
      <c r="I46">
        <v>20</v>
      </c>
      <c r="J46">
        <v>19</v>
      </c>
      <c r="K46">
        <v>14.5</v>
      </c>
      <c r="L46">
        <v>20</v>
      </c>
      <c r="M46">
        <v>10</v>
      </c>
      <c r="N46">
        <v>14</v>
      </c>
      <c r="O46">
        <v>11</v>
      </c>
      <c r="P46">
        <v>16</v>
      </c>
      <c r="Q46">
        <v>16</v>
      </c>
      <c r="R46">
        <v>9</v>
      </c>
    </row>
    <row r="47" spans="1:18" x14ac:dyDescent="0.2">
      <c r="A47" t="s">
        <v>13</v>
      </c>
      <c r="B47" t="s">
        <v>193</v>
      </c>
      <c r="C47" t="s">
        <v>194</v>
      </c>
      <c r="D47" t="s">
        <v>195</v>
      </c>
      <c r="E47" t="s">
        <v>196</v>
      </c>
      <c r="F47">
        <v>5</v>
      </c>
      <c r="G47">
        <f t="shared" si="0"/>
        <v>4.7624999999999993</v>
      </c>
      <c r="H47">
        <v>100</v>
      </c>
      <c r="I47">
        <v>16</v>
      </c>
      <c r="J47">
        <v>17</v>
      </c>
      <c r="K47">
        <v>5.5</v>
      </c>
      <c r="L47">
        <v>12</v>
      </c>
      <c r="M47">
        <v>11.5</v>
      </c>
      <c r="N47">
        <v>1</v>
      </c>
      <c r="O47">
        <v>2</v>
      </c>
      <c r="P47">
        <v>19</v>
      </c>
    </row>
    <row r="48" spans="1:18" x14ac:dyDescent="0.2">
      <c r="A48" t="s">
        <v>18</v>
      </c>
      <c r="B48" t="s">
        <v>197</v>
      </c>
      <c r="C48" t="s">
        <v>198</v>
      </c>
      <c r="D48" t="s">
        <v>199</v>
      </c>
      <c r="E48" t="s">
        <v>200</v>
      </c>
      <c r="F48">
        <v>1</v>
      </c>
      <c r="G48">
        <f t="shared" si="0"/>
        <v>1.5375000000000001</v>
      </c>
      <c r="H48">
        <v>100</v>
      </c>
      <c r="I48">
        <v>0</v>
      </c>
      <c r="J48">
        <v>13</v>
      </c>
      <c r="K48">
        <v>4.5</v>
      </c>
      <c r="L48">
        <v>1</v>
      </c>
      <c r="M48">
        <v>2</v>
      </c>
      <c r="N48">
        <v>1</v>
      </c>
      <c r="O48">
        <v>1</v>
      </c>
      <c r="P48">
        <v>11</v>
      </c>
    </row>
    <row r="49" spans="1:18" x14ac:dyDescent="0.2">
      <c r="A49" t="s">
        <v>31</v>
      </c>
      <c r="B49" t="s">
        <v>201</v>
      </c>
      <c r="C49" t="s">
        <v>202</v>
      </c>
      <c r="D49" t="s">
        <v>203</v>
      </c>
      <c r="E49" t="s">
        <v>204</v>
      </c>
      <c r="F49">
        <v>4</v>
      </c>
      <c r="G49">
        <f t="shared" si="0"/>
        <v>3.2374999999999998</v>
      </c>
      <c r="H49">
        <v>100</v>
      </c>
      <c r="I49">
        <v>16</v>
      </c>
      <c r="J49">
        <v>17</v>
      </c>
      <c r="K49">
        <v>5.5</v>
      </c>
      <c r="L49">
        <v>1</v>
      </c>
      <c r="M49">
        <v>5.5</v>
      </c>
      <c r="N49">
        <v>3</v>
      </c>
      <c r="O49">
        <v>1</v>
      </c>
      <c r="P49">
        <v>7</v>
      </c>
    </row>
    <row r="50" spans="1:18" x14ac:dyDescent="0.2">
      <c r="A50" t="s">
        <v>31</v>
      </c>
      <c r="B50" t="s">
        <v>205</v>
      </c>
      <c r="C50" t="s">
        <v>206</v>
      </c>
      <c r="D50" t="s">
        <v>207</v>
      </c>
      <c r="E50" t="s">
        <v>208</v>
      </c>
      <c r="F50">
        <v>6</v>
      </c>
      <c r="G50">
        <f t="shared" si="0"/>
        <v>10.737499999999999</v>
      </c>
      <c r="H50">
        <v>100</v>
      </c>
      <c r="I50">
        <v>16</v>
      </c>
      <c r="J50">
        <v>17</v>
      </c>
      <c r="K50">
        <v>7.5</v>
      </c>
      <c r="L50">
        <v>20</v>
      </c>
      <c r="M50">
        <v>16.5</v>
      </c>
      <c r="N50">
        <v>8</v>
      </c>
      <c r="O50">
        <v>7.5</v>
      </c>
      <c r="P50">
        <v>6</v>
      </c>
      <c r="Q50">
        <v>16</v>
      </c>
      <c r="R50">
        <v>13</v>
      </c>
    </row>
    <row r="51" spans="1:18" x14ac:dyDescent="0.2">
      <c r="A51" t="s">
        <v>18</v>
      </c>
      <c r="B51" t="s">
        <v>209</v>
      </c>
      <c r="C51" t="s">
        <v>210</v>
      </c>
      <c r="D51" t="s">
        <v>211</v>
      </c>
      <c r="E51" t="s">
        <v>212</v>
      </c>
      <c r="F51">
        <v>10</v>
      </c>
      <c r="G51">
        <f t="shared" si="0"/>
        <v>16.137499999999999</v>
      </c>
      <c r="H51">
        <v>100</v>
      </c>
      <c r="I51">
        <v>16</v>
      </c>
      <c r="J51">
        <v>20</v>
      </c>
      <c r="K51">
        <v>16.5</v>
      </c>
      <c r="L51">
        <v>12</v>
      </c>
      <c r="M51">
        <v>15</v>
      </c>
      <c r="N51">
        <v>12</v>
      </c>
      <c r="O51">
        <v>20</v>
      </c>
      <c r="P51">
        <v>19</v>
      </c>
      <c r="Q51">
        <v>20</v>
      </c>
      <c r="R51">
        <v>20</v>
      </c>
    </row>
    <row r="52" spans="1:18" x14ac:dyDescent="0.2">
      <c r="A52" t="s">
        <v>18</v>
      </c>
      <c r="B52" t="s">
        <v>213</v>
      </c>
      <c r="C52" t="s">
        <v>214</v>
      </c>
      <c r="D52" t="s">
        <v>215</v>
      </c>
      <c r="E52" t="s">
        <v>216</v>
      </c>
      <c r="F52">
        <v>2</v>
      </c>
      <c r="G52">
        <f t="shared" si="0"/>
        <v>4.1124999999999998</v>
      </c>
      <c r="H52">
        <v>100</v>
      </c>
      <c r="I52">
        <v>16</v>
      </c>
      <c r="J52">
        <v>20</v>
      </c>
      <c r="K52">
        <v>16.5</v>
      </c>
      <c r="L52">
        <v>12</v>
      </c>
      <c r="M52">
        <v>6</v>
      </c>
      <c r="N52">
        <v>6</v>
      </c>
      <c r="P52">
        <v>16</v>
      </c>
    </row>
    <row r="53" spans="1:18" x14ac:dyDescent="0.2">
      <c r="A53" t="s">
        <v>13</v>
      </c>
      <c r="B53">
        <v>31873404</v>
      </c>
      <c r="C53" t="s">
        <v>217</v>
      </c>
      <c r="D53" t="s">
        <v>218</v>
      </c>
      <c r="E53" t="s">
        <v>219</v>
      </c>
      <c r="F53">
        <v>4</v>
      </c>
      <c r="G53">
        <f t="shared" si="0"/>
        <v>11.399999999999999</v>
      </c>
      <c r="H53">
        <v>100</v>
      </c>
      <c r="I53">
        <v>8</v>
      </c>
      <c r="J53">
        <v>19</v>
      </c>
      <c r="K53">
        <v>6</v>
      </c>
      <c r="L53">
        <v>20</v>
      </c>
      <c r="M53">
        <v>2</v>
      </c>
      <c r="N53">
        <v>18.5</v>
      </c>
      <c r="O53">
        <v>12</v>
      </c>
      <c r="P53">
        <v>19</v>
      </c>
      <c r="Q53">
        <v>13</v>
      </c>
      <c r="R53">
        <v>16</v>
      </c>
    </row>
    <row r="54" spans="1:18" x14ac:dyDescent="0.2">
      <c r="A54" t="s">
        <v>13</v>
      </c>
      <c r="B54" t="s">
        <v>220</v>
      </c>
      <c r="C54" t="s">
        <v>221</v>
      </c>
      <c r="D54" t="s">
        <v>222</v>
      </c>
      <c r="E54" t="s">
        <v>223</v>
      </c>
      <c r="F54">
        <v>2</v>
      </c>
      <c r="G54">
        <f t="shared" si="0"/>
        <v>3.5</v>
      </c>
      <c r="H54">
        <v>100</v>
      </c>
      <c r="I54">
        <v>12</v>
      </c>
      <c r="J54">
        <v>8</v>
      </c>
      <c r="K54">
        <v>19</v>
      </c>
      <c r="L54">
        <v>14</v>
      </c>
      <c r="M54">
        <v>7.5</v>
      </c>
      <c r="N54">
        <v>5</v>
      </c>
    </row>
    <row r="55" spans="1:18" x14ac:dyDescent="0.2">
      <c r="A55" t="s">
        <v>31</v>
      </c>
      <c r="B55" t="s">
        <v>224</v>
      </c>
      <c r="C55" t="s">
        <v>225</v>
      </c>
      <c r="D55" t="s">
        <v>226</v>
      </c>
      <c r="E55" t="s">
        <v>227</v>
      </c>
      <c r="F55">
        <v>7</v>
      </c>
      <c r="G55">
        <f t="shared" si="0"/>
        <v>9.5374999999999996</v>
      </c>
      <c r="H55">
        <v>100</v>
      </c>
      <c r="I55">
        <v>8</v>
      </c>
      <c r="J55">
        <v>18</v>
      </c>
      <c r="K55">
        <v>16.5</v>
      </c>
      <c r="L55">
        <v>12</v>
      </c>
      <c r="M55">
        <v>9</v>
      </c>
      <c r="N55">
        <v>5</v>
      </c>
      <c r="O55">
        <v>10</v>
      </c>
      <c r="P55">
        <v>10</v>
      </c>
      <c r="Q55">
        <v>15</v>
      </c>
      <c r="R55">
        <v>12</v>
      </c>
    </row>
    <row r="56" spans="1:18" x14ac:dyDescent="0.2">
      <c r="A56" t="s">
        <v>18</v>
      </c>
      <c r="B56" t="s">
        <v>228</v>
      </c>
      <c r="C56" t="s">
        <v>229</v>
      </c>
      <c r="D56" t="s">
        <v>230</v>
      </c>
      <c r="E56" t="s">
        <v>231</v>
      </c>
      <c r="G56">
        <f t="shared" si="0"/>
        <v>6.4249999999999998</v>
      </c>
      <c r="H56">
        <v>62.5</v>
      </c>
      <c r="I56">
        <v>0</v>
      </c>
      <c r="J56">
        <v>0</v>
      </c>
      <c r="K56">
        <v>0</v>
      </c>
      <c r="L56">
        <v>0</v>
      </c>
      <c r="M56">
        <v>0</v>
      </c>
      <c r="N56">
        <v>8</v>
      </c>
      <c r="O56">
        <v>14</v>
      </c>
      <c r="P56">
        <v>17</v>
      </c>
      <c r="Q56">
        <v>0</v>
      </c>
      <c r="R56">
        <v>10</v>
      </c>
    </row>
    <row r="57" spans="1:18" x14ac:dyDescent="0.2">
      <c r="A57" t="s">
        <v>18</v>
      </c>
      <c r="B57" t="s">
        <v>232</v>
      </c>
      <c r="C57" t="s">
        <v>233</v>
      </c>
      <c r="D57" t="s">
        <v>234</v>
      </c>
      <c r="E57" t="s">
        <v>235</v>
      </c>
      <c r="G57">
        <f t="shared" si="0"/>
        <v>1.0750000000000002</v>
      </c>
      <c r="H57">
        <v>62.5</v>
      </c>
      <c r="I57">
        <v>14</v>
      </c>
      <c r="J57">
        <v>19</v>
      </c>
      <c r="K57">
        <v>0</v>
      </c>
      <c r="L57">
        <v>0</v>
      </c>
      <c r="M57">
        <v>0</v>
      </c>
      <c r="N57">
        <v>1</v>
      </c>
      <c r="P57">
        <v>4</v>
      </c>
    </row>
    <row r="58" spans="1:18" x14ac:dyDescent="0.2">
      <c r="A58" t="s">
        <v>18</v>
      </c>
      <c r="B58" t="s">
        <v>236</v>
      </c>
      <c r="C58" t="s">
        <v>237</v>
      </c>
      <c r="D58" t="s">
        <v>238</v>
      </c>
      <c r="E58" t="s">
        <v>239</v>
      </c>
      <c r="F58">
        <v>1</v>
      </c>
      <c r="G58">
        <f t="shared" si="0"/>
        <v>1.6749999999999998</v>
      </c>
      <c r="H58">
        <v>100</v>
      </c>
      <c r="I58">
        <v>12</v>
      </c>
      <c r="J58">
        <v>16</v>
      </c>
      <c r="K58">
        <v>5</v>
      </c>
      <c r="L58">
        <v>1</v>
      </c>
      <c r="M58">
        <v>3.5</v>
      </c>
      <c r="N58">
        <v>1</v>
      </c>
    </row>
    <row r="59" spans="1:18" x14ac:dyDescent="0.2">
      <c r="A59" t="s">
        <v>13</v>
      </c>
      <c r="B59" t="s">
        <v>240</v>
      </c>
      <c r="C59" t="s">
        <v>241</v>
      </c>
      <c r="D59" t="s">
        <v>242</v>
      </c>
      <c r="E59" t="s">
        <v>243</v>
      </c>
      <c r="F59">
        <v>2</v>
      </c>
      <c r="G59">
        <f t="shared" si="0"/>
        <v>1.8875</v>
      </c>
      <c r="H59">
        <v>100</v>
      </c>
      <c r="I59">
        <v>10</v>
      </c>
      <c r="J59">
        <v>14</v>
      </c>
      <c r="K59">
        <v>9.5</v>
      </c>
      <c r="L59">
        <v>6</v>
      </c>
      <c r="M59">
        <v>3</v>
      </c>
      <c r="N59">
        <v>1</v>
      </c>
    </row>
    <row r="60" spans="1:18" x14ac:dyDescent="0.2">
      <c r="A60" t="s">
        <v>31</v>
      </c>
      <c r="B60" t="s">
        <v>244</v>
      </c>
      <c r="C60" t="s">
        <v>245</v>
      </c>
      <c r="D60" t="s">
        <v>246</v>
      </c>
      <c r="E60" t="s">
        <v>247</v>
      </c>
      <c r="F60">
        <v>4</v>
      </c>
      <c r="G60">
        <f t="shared" si="0"/>
        <v>4.0875000000000004</v>
      </c>
      <c r="H60">
        <v>100</v>
      </c>
      <c r="I60">
        <v>20</v>
      </c>
      <c r="J60">
        <v>17</v>
      </c>
      <c r="K60">
        <v>4.5</v>
      </c>
      <c r="L60">
        <v>3</v>
      </c>
      <c r="M60">
        <v>4.5</v>
      </c>
      <c r="N60">
        <v>1</v>
      </c>
      <c r="O60">
        <v>1</v>
      </c>
      <c r="P60">
        <v>5</v>
      </c>
      <c r="Q60">
        <v>1</v>
      </c>
      <c r="R60">
        <v>6</v>
      </c>
    </row>
    <row r="61" spans="1:18" x14ac:dyDescent="0.2">
      <c r="A61" t="s">
        <v>18</v>
      </c>
      <c r="B61" t="s">
        <v>248</v>
      </c>
      <c r="C61" t="s">
        <v>249</v>
      </c>
      <c r="D61" t="s">
        <v>250</v>
      </c>
      <c r="E61" t="s">
        <v>251</v>
      </c>
      <c r="F61">
        <v>3</v>
      </c>
      <c r="G61">
        <f t="shared" si="0"/>
        <v>2.6</v>
      </c>
      <c r="H61">
        <v>100</v>
      </c>
      <c r="I61">
        <v>14</v>
      </c>
      <c r="J61">
        <v>15</v>
      </c>
      <c r="K61">
        <v>7</v>
      </c>
      <c r="L61">
        <v>1</v>
      </c>
      <c r="M61">
        <v>4</v>
      </c>
      <c r="N61">
        <v>1</v>
      </c>
      <c r="P61">
        <v>19</v>
      </c>
    </row>
    <row r="62" spans="1:18" x14ac:dyDescent="0.2">
      <c r="A62" t="s">
        <v>18</v>
      </c>
      <c r="B62" t="s">
        <v>252</v>
      </c>
      <c r="C62" t="s">
        <v>253</v>
      </c>
      <c r="D62" t="s">
        <v>254</v>
      </c>
      <c r="E62" t="s">
        <v>255</v>
      </c>
      <c r="F62">
        <v>9</v>
      </c>
      <c r="G62">
        <f t="shared" si="0"/>
        <v>4.3125</v>
      </c>
      <c r="H62">
        <v>100</v>
      </c>
      <c r="I62">
        <v>0</v>
      </c>
      <c r="J62">
        <v>17</v>
      </c>
      <c r="K62">
        <v>19.5</v>
      </c>
      <c r="L62">
        <v>10</v>
      </c>
      <c r="M62">
        <v>10</v>
      </c>
      <c r="N62">
        <v>2</v>
      </c>
    </row>
    <row r="63" spans="1:18" x14ac:dyDescent="0.2">
      <c r="A63" t="s">
        <v>31</v>
      </c>
      <c r="B63" t="s">
        <v>256</v>
      </c>
      <c r="C63" t="s">
        <v>257</v>
      </c>
      <c r="D63" t="s">
        <v>258</v>
      </c>
      <c r="E63" t="s">
        <v>259</v>
      </c>
      <c r="F63">
        <v>8</v>
      </c>
      <c r="G63">
        <f t="shared" si="0"/>
        <v>5.4750000000000005</v>
      </c>
      <c r="H63">
        <v>100</v>
      </c>
      <c r="I63">
        <v>18</v>
      </c>
      <c r="J63">
        <v>19</v>
      </c>
      <c r="K63">
        <v>19</v>
      </c>
      <c r="L63">
        <v>0</v>
      </c>
      <c r="M63">
        <v>1</v>
      </c>
      <c r="N63">
        <v>8</v>
      </c>
      <c r="O63">
        <v>6</v>
      </c>
      <c r="P63">
        <v>13</v>
      </c>
    </row>
    <row r="64" spans="1:18" x14ac:dyDescent="0.2">
      <c r="A64" t="s">
        <v>13</v>
      </c>
      <c r="B64" t="s">
        <v>260</v>
      </c>
      <c r="C64" t="s">
        <v>261</v>
      </c>
      <c r="D64" t="s">
        <v>262</v>
      </c>
      <c r="E64" t="s">
        <v>263</v>
      </c>
      <c r="F64">
        <v>3</v>
      </c>
      <c r="G64">
        <f t="shared" si="0"/>
        <v>1.0249999999999999</v>
      </c>
      <c r="H64">
        <v>100</v>
      </c>
      <c r="I64">
        <v>12</v>
      </c>
      <c r="J64">
        <v>11</v>
      </c>
      <c r="K64">
        <v>0</v>
      </c>
      <c r="L64">
        <v>0</v>
      </c>
      <c r="M64">
        <v>0</v>
      </c>
    </row>
    <row r="65" spans="1:18" x14ac:dyDescent="0.2">
      <c r="A65" t="s">
        <v>18</v>
      </c>
      <c r="B65" t="s">
        <v>264</v>
      </c>
      <c r="C65" t="s">
        <v>265</v>
      </c>
      <c r="D65" t="s">
        <v>266</v>
      </c>
      <c r="E65" t="s">
        <v>267</v>
      </c>
      <c r="F65">
        <v>5</v>
      </c>
      <c r="G65">
        <f t="shared" si="0"/>
        <v>4.9375</v>
      </c>
      <c r="H65">
        <v>100</v>
      </c>
      <c r="I65">
        <v>8</v>
      </c>
      <c r="J65">
        <v>16</v>
      </c>
      <c r="K65">
        <v>4.5</v>
      </c>
      <c r="L65">
        <v>3</v>
      </c>
      <c r="M65">
        <v>10.5</v>
      </c>
      <c r="N65">
        <v>3</v>
      </c>
      <c r="O65">
        <v>4</v>
      </c>
      <c r="P65">
        <v>8</v>
      </c>
      <c r="Q65">
        <v>15</v>
      </c>
    </row>
    <row r="66" spans="1:18" x14ac:dyDescent="0.2">
      <c r="A66" t="s">
        <v>31</v>
      </c>
      <c r="B66" t="s">
        <v>268</v>
      </c>
      <c r="C66" t="s">
        <v>269</v>
      </c>
      <c r="D66" t="s">
        <v>270</v>
      </c>
      <c r="E66" t="s">
        <v>271</v>
      </c>
      <c r="F66">
        <v>2</v>
      </c>
      <c r="G66">
        <f t="shared" si="0"/>
        <v>7.3625000000000007</v>
      </c>
      <c r="H66">
        <v>100</v>
      </c>
      <c r="I66">
        <v>12</v>
      </c>
      <c r="J66">
        <v>15</v>
      </c>
      <c r="K66">
        <v>11.5</v>
      </c>
      <c r="L66">
        <v>3</v>
      </c>
      <c r="M66">
        <v>12.5</v>
      </c>
      <c r="N66">
        <v>4.5</v>
      </c>
      <c r="O66">
        <v>4.5</v>
      </c>
      <c r="P66">
        <v>8</v>
      </c>
      <c r="Q66">
        <v>7</v>
      </c>
      <c r="R66">
        <v>11</v>
      </c>
    </row>
    <row r="67" spans="1:18" x14ac:dyDescent="0.2">
      <c r="A67" t="s">
        <v>13</v>
      </c>
      <c r="B67" t="s">
        <v>272</v>
      </c>
      <c r="C67" t="s">
        <v>273</v>
      </c>
      <c r="D67" t="s">
        <v>274</v>
      </c>
      <c r="E67" t="s">
        <v>275</v>
      </c>
      <c r="F67">
        <v>3</v>
      </c>
      <c r="G67">
        <f t="shared" ref="G67" si="1">F67*0.15+I67*0.025+J67*0.025+K67*0.025+L67*0.025+M67*0.15+N67*0.15+O67*0.2+P67*0.025+Q67*0.025+R67*0.2</f>
        <v>3.7</v>
      </c>
      <c r="H67">
        <v>100</v>
      </c>
      <c r="I67">
        <v>14</v>
      </c>
      <c r="J67">
        <v>20</v>
      </c>
      <c r="K67">
        <v>15</v>
      </c>
      <c r="L67">
        <v>12</v>
      </c>
      <c r="M67">
        <v>9.5</v>
      </c>
      <c r="N6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Castillo</cp:lastModifiedBy>
  <dcterms:created xsi:type="dcterms:W3CDTF">2026-01-10T16:20:54Z</dcterms:created>
  <dcterms:modified xsi:type="dcterms:W3CDTF">2026-03-15T00:40:12Z</dcterms:modified>
</cp:coreProperties>
</file>